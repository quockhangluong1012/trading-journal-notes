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i dat" sheetId="1" state="visible" r:id="rId3"/>
    <sheet name="Lot Size" sheetId="2" state="visible" r:id="rId4"/>
    <sheet name="Profit Expectancy" sheetId="3" state="visible" r:id="rId5"/>
    <sheet name="Rui ro FTM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<sst xmlns="http://schemas.openxmlformats.org/spreadsheetml/2006/main" count="82" uniqueCount="65">
  <si>
    <t xml:space="preserve">CAI DAT &amp; CHU THICH  (FTMO 10K)</t>
  </si>
  <si>
    <t xml:space="preserve">THAM SO CHINH</t>
  </si>
  <si>
    <t xml:space="preserve">So du tai khoan ($)</t>
  </si>
  <si>
    <t xml:space="preserve">Risk thap (%)</t>
  </si>
  <si>
    <t xml:space="preserve">Risk cao (%)</t>
  </si>
  <si>
    <t xml:space="preserve">So lenh / thang</t>
  </si>
  <si>
    <t xml:space="preserve">Risk $ (thap) = B4*B5</t>
  </si>
  <si>
    <t xml:space="preserve">Risk $ (cao)  = B4*B6</t>
  </si>
  <si>
    <t xml:space="preserve">GIA TRI 1.00 LOT (dung de tinh lot size)</t>
  </si>
  <si>
    <t xml:space="preserve">EURUSD  ($/pip, 1pip=0.0001)</t>
  </si>
  <si>
    <t xml:space="preserve">SL do bang pip</t>
  </si>
  <si>
    <t xml:space="preserve">GBPUSD  ($/pip, 1pip=0.0001)</t>
  </si>
  <si>
    <t xml:space="preserve">XAUUSD  ($ / 1.0 USD gia)</t>
  </si>
  <si>
    <t xml:space="preserve">SL do bang USD gia (vd 5.0)</t>
  </si>
  <si>
    <t xml:space="preserve">NAS100  ($ / 1 point)</t>
  </si>
  <si>
    <t xml:space="preserve">SL do bang point (index)</t>
  </si>
  <si>
    <t xml:space="preserve">CHU THICH</t>
  </si>
  <si>
    <t xml:space="preserve">O to vang + chu xanh = O NHAP LIEU (ban tu sua)</t>
  </si>
  <si>
    <t xml:space="preserve">Chu den = cong thuc tu dong tinh</t>
  </si>
  <si>
    <t xml:space="preserve">Doi so du / risk% o tren -&gt; moi bang tu dong cap nhat</t>
  </si>
  <si>
    <t xml:space="preserve">BANG LOT SIZE  -  TK 10K FTMO</t>
  </si>
  <si>
    <t xml:space="preserve">Lot = Risk$ / (SL x gia tri 1 lot). Doi risk/so du tai sheet 'Cai dat'.</t>
  </si>
  <si>
    <t xml:space="preserve">EURUSD  (SL tinh bang PIP)</t>
  </si>
  <si>
    <t xml:space="preserve">SL (pip)</t>
  </si>
  <si>
    <t xml:space="preserve">Lot @ Risk thap</t>
  </si>
  <si>
    <t xml:space="preserve">Lot @ Risk cao</t>
  </si>
  <si>
    <t xml:space="preserve">Rui ro $ (thap)</t>
  </si>
  <si>
    <t xml:space="preserve">Rui ro $ (cao)</t>
  </si>
  <si>
    <t xml:space="preserve">GBPUSD  (SL tinh bang PIP)</t>
  </si>
  <si>
    <t xml:space="preserve">XAUUSD / GOLD  (SL tinh bang USD gia)</t>
  </si>
  <si>
    <t xml:space="preserve">SL (USD)</t>
  </si>
  <si>
    <t xml:space="preserve">NAS100  (SL tinh bang POINT)</t>
  </si>
  <si>
    <t xml:space="preserve">SL (point)</t>
  </si>
  <si>
    <t xml:space="preserve">MAY TINH LOI NHUAN theo WIN% &amp; RR</t>
  </si>
  <si>
    <t xml:space="preserve">MAY TINH NHANH (sua o vang)</t>
  </si>
  <si>
    <t xml:space="preserve">Ty le thang (Win %)</t>
  </si>
  <si>
    <t xml:space="preserve">Ty le RR (1 : ?)</t>
  </si>
  <si>
    <t xml:space="preserve">Risk moi lenh (%)</t>
  </si>
  <si>
    <t xml:space="preserve">Ky vong / lenh (R) = Win*RR-(1-Win)</t>
  </si>
  <si>
    <t xml:space="preserve">Risk $ / lenh = So du*Risk%</t>
  </si>
  <si>
    <t xml:space="preserve">Loi nhuan / lenh ($) = R*Risk$</t>
  </si>
  <si>
    <t xml:space="preserve">LOI NHUAN / THANG ($)</t>
  </si>
  <si>
    <t xml:space="preserve">LOI NHUAN / THANG (%)</t>
  </si>
  <si>
    <t xml:space="preserve">A) KY VONG (R / lenh) = Win*RR-(1-Win)</t>
  </si>
  <si>
    <t xml:space="preserve">RR \ Win%</t>
  </si>
  <si>
    <t xml:space="preserve">B) LOI NHUAN / THANG ($) @ Risk CAO (1%)</t>
  </si>
  <si>
    <t xml:space="preserve">C) LOI NHUAN / THANG ($) @ Risk THAP (0.5%)</t>
  </si>
  <si>
    <t xml:space="preserve">LUU Y: Day la KY VONG LY THUYET (fixed risk, 20 lenh/thang, chua tru spread/commission/slippage). Ket qua thuc te bien dong manh; chuoi thua lien tiep o 40% win co the vi pham gioi han lo cua FTMO. Xem sheet 'Rui ro FTMO'.</t>
  </si>
  <si>
    <t xml:space="preserve">RUI RO &amp; GIOI HAN FTMO 10K</t>
  </si>
  <si>
    <t xml:space="preserve">Chi tieu</t>
  </si>
  <si>
    <t xml:space="preserve">Gia tri</t>
  </si>
  <si>
    <t xml:space="preserve">Ghi chu</t>
  </si>
  <si>
    <t xml:space="preserve">Muc tieu Phase 1</t>
  </si>
  <si>
    <t xml:space="preserve">10% = $1,000</t>
  </si>
  <si>
    <t xml:space="preserve">Muc tieu Phase 2</t>
  </si>
  <si>
    <t xml:space="preserve">5% = $500</t>
  </si>
  <si>
    <t xml:space="preserve">Max daily loss</t>
  </si>
  <si>
    <t xml:space="preserve">5% tinh tren so du dau ngay (balance goc)</t>
  </si>
  <si>
    <t xml:space="preserve">Max total loss</t>
  </si>
  <si>
    <t xml:space="preserve">10% tren balance goc</t>
  </si>
  <si>
    <t xml:space="preserve">So lenh thua LT toi da @1% cham daily-limit</t>
  </si>
  <si>
    <t xml:space="preserve">5%/1% = 5 lenh thua/ngay la cham tran</t>
  </si>
  <si>
    <t xml:space="preserve">So lenh thua LT toi da @0.5% cham daily-limit</t>
  </si>
  <si>
    <t xml:space="preserve">5%/0.5% = 10 lenh thua/ngay</t>
  </si>
  <si>
    <t xml:space="preserve">MENTOR NOTE: 1% risk cho ky vong cao hon nhung chi can 5 lenh thua lien tiep trong 1 ngay la vi pham daily loss limit cua FTMO. Voi win rate 40-50%, chuoi 5 thua HOAN TOAN co the xay ra. Giai doan foundation nen chon 0.5% de song sot qua variance, uu tien PROCESS hon OUTCOME.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</si>
</sst>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0"/>
    <numFmt numFmtId="168" formatCode="0.00"/>
    <numFmt numFmtId="169" formatCode="0.0"/>
    <numFmt numFmtId="170" formatCode="\$#,##0.00"/>
    <numFmt numFmtId="171" formatCode="0%"/>
    <numFmt numFmtId="172" formatCode="&quot;1 : &quot;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tru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4" t="n">
        <v>10000</v>
      </c>
    </row>
    <row r="5" customFormat="false" ht="15" hidden="false" customHeight="false" outlineLevel="0" collapsed="false">
      <c r="A5" s="3" t="s">
        <v>3</v>
      </c>
      <c r="B5" s="5" t="n">
        <v>0.005</v>
      </c>
    </row>
    <row r="6" customFormat="false" ht="15" hidden="false" customHeight="false" outlineLevel="0" collapsed="false">
      <c r="A6" s="3" t="s">
        <v>4</v>
      </c>
      <c r="B6" s="5" t="n">
        <v>0.01</v>
      </c>
    </row>
    <row r="7" customFormat="false" ht="15" hidden="false" customHeight="false" outlineLevel="0" collapsed="false">
      <c r="A7" s="3" t="s">
        <v>5</v>
      </c>
      <c r="B7" s="6" t="n">
        <v>20</v>
      </c>
    </row>
    <row r="8" customFormat="false" ht="15" hidden="false" customHeight="false" outlineLevel="0" collapsed="false">
      <c r="A8" s="3" t="s">
        <v>6</v>
      </c>
      <c r="B8" s="7" t="n">
        <f aca="false">B4*B5</f>
        <v>50</v>
      </c>
    </row>
    <row r="9" customFormat="false" ht="15" hidden="false" customHeight="false" outlineLevel="0" collapsed="false">
      <c r="A9" s="3" t="s">
        <v>7</v>
      </c>
      <c r="B9" s="7" t="n">
        <f aca="false">B4*B6</f>
        <v>100</v>
      </c>
    </row>
    <row r="11" customFormat="false" ht="15" hidden="false" customHeight="true" outlineLevel="0" collapsed="false">
      <c r="A11" s="2" t="s">
        <v>8</v>
      </c>
      <c r="B11" s="2"/>
      <c r="C11" s="2"/>
    </row>
    <row r="12" customFormat="false" ht="15" hidden="false" customHeight="false" outlineLevel="0" collapsed="false">
      <c r="A12" s="3" t="s">
        <v>9</v>
      </c>
      <c r="B12" s="8" t="n">
        <v>10</v>
      </c>
      <c r="C12" s="9" t="s">
        <v>10</v>
      </c>
    </row>
    <row r="13" customFormat="false" ht="15" hidden="false" customHeight="false" outlineLevel="0" collapsed="false">
      <c r="A13" s="3" t="s">
        <v>11</v>
      </c>
      <c r="B13" s="8" t="n">
        <v>10</v>
      </c>
      <c r="C13" s="9" t="s">
        <v>10</v>
      </c>
    </row>
    <row r="14" customFormat="false" ht="15" hidden="false" customHeight="false" outlineLevel="0" collapsed="false">
      <c r="A14" s="3" t="s">
        <v>12</v>
      </c>
      <c r="B14" s="8" t="n">
        <v>100</v>
      </c>
      <c r="C14" s="9" t="s">
        <v>13</v>
      </c>
    </row>
    <row r="15" customFormat="false" ht="15" hidden="false" customHeight="false" outlineLevel="0" collapsed="false">
      <c r="A15" s="3" t="s">
        <v>14</v>
      </c>
      <c r="B15" s="8" t="n">
        <v>1</v>
      </c>
      <c r="C15" s="9" t="s">
        <v>15</v>
      </c>
    </row>
    <row r="17" customFormat="false" ht="15" hidden="false" customHeight="true" outlineLevel="0" collapsed="false">
      <c r="A17" s="2" t="s">
        <v>16</v>
      </c>
      <c r="B17" s="2"/>
      <c r="C17" s="2"/>
    </row>
    <row r="18" customFormat="false" ht="15" hidden="false" customHeight="true" outlineLevel="0" collapsed="false">
      <c r="A18" s="10" t="s">
        <v>17</v>
      </c>
      <c r="B18" s="10"/>
      <c r="C18" s="10"/>
    </row>
    <row r="19" customFormat="false" ht="15" hidden="false" customHeight="true" outlineLevel="0" collapsed="false">
      <c r="A19" s="11" t="s">
        <v>18</v>
      </c>
      <c r="B19" s="11"/>
      <c r="C19" s="11"/>
    </row>
    <row r="20" customFormat="false" ht="15" hidden="false" customHeight="true" outlineLevel="0" collapsed="false">
      <c r="A20" s="11" t="s">
        <v>19</v>
      </c>
      <c r="B20" s="11"/>
      <c r="C20" s="11"/>
    </row>
  </sheetData>
  <mergeCells count="7">
    <mergeCell ref="A1:C1"/>
    <mergeCell ref="A3:C3"/>
    <mergeCell ref="A11:C11"/>
    <mergeCell ref="A17:C17"/>
    <mergeCell ref="A18:C18"/>
    <mergeCell ref="A19:C19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20</v>
      </c>
      <c r="B1" s="1"/>
      <c r="C1" s="1"/>
      <c r="D1" s="1"/>
      <c r="E1" s="1"/>
    </row>
    <row r="2" customFormat="false" ht="15" hidden="false" customHeight="true" outlineLevel="0" collapsed="false">
      <c r="A2" s="12" t="s">
        <v>21</v>
      </c>
      <c r="B2" s="12"/>
      <c r="C2" s="12"/>
      <c r="D2" s="12"/>
      <c r="E2" s="12"/>
    </row>
    <row r="4" customFormat="false" ht="15" hidden="false" customHeight="true" outlineLevel="0" collapsed="false">
      <c r="A4" s="13" t="s">
        <v>22</v>
      </c>
      <c r="B4" s="13"/>
      <c r="C4" s="13"/>
      <c r="D4" s="13"/>
      <c r="E4" s="13"/>
    </row>
    <row r="5" customFormat="false" ht="15" hidden="false" customHeight="false" outlineLevel="0" collapsed="false">
      <c r="A5" s="14" t="s">
        <v>23</v>
      </c>
      <c r="B5" s="14" t="s">
        <v>24</v>
      </c>
      <c r="C5" s="14" t="s">
        <v>25</v>
      </c>
      <c r="D5" s="14" t="s">
        <v>26</v>
      </c>
      <c r="E5" s="14" t="s">
        <v>27</v>
      </c>
    </row>
    <row r="6" customFormat="false" ht="15" hidden="false" customHeight="false" outlineLevel="0" collapsed="false">
      <c r="A6" s="15" t="n">
        <v>10</v>
      </c>
      <c r="B6" s="16" t="n">
        <f aca="false">ROUND('Cai dat'!$B$8/(A6*'Cai dat'!$B$12),2)</f>
        <v>0.5</v>
      </c>
      <c r="C6" s="16" t="n">
        <f aca="false">ROUND('Cai dat'!$B$9/(A6*'Cai dat'!$B$12),2)</f>
        <v>1</v>
      </c>
      <c r="D6" s="7" t="n">
        <f aca="false">'Cai dat'!$B$8</f>
        <v>50</v>
      </c>
      <c r="E6" s="7" t="n">
        <f aca="false">'Cai dat'!$B$9</f>
        <v>100</v>
      </c>
    </row>
    <row r="7" customFormat="false" ht="15" hidden="false" customHeight="false" outlineLevel="0" collapsed="false">
      <c r="A7" s="15" t="n">
        <v>15</v>
      </c>
      <c r="B7" s="16" t="n">
        <f aca="false">ROUND('Cai dat'!$B$8/(A7*'Cai dat'!$B$12),2)</f>
        <v>0.33</v>
      </c>
      <c r="C7" s="16" t="n">
        <f aca="false">ROUND('Cai dat'!$B$9/(A7*'Cai dat'!$B$12),2)</f>
        <v>0.67</v>
      </c>
      <c r="D7" s="7" t="n">
        <f aca="false">'Cai dat'!$B$8</f>
        <v>50</v>
      </c>
      <c r="E7" s="7" t="n">
        <f aca="false">'Cai dat'!$B$9</f>
        <v>100</v>
      </c>
    </row>
    <row r="8" customFormat="false" ht="15" hidden="false" customHeight="false" outlineLevel="0" collapsed="false">
      <c r="A8" s="15" t="n">
        <v>20</v>
      </c>
      <c r="B8" s="16" t="n">
        <f aca="false">ROUND('Cai dat'!$B$8/(A8*'Cai dat'!$B$12),2)</f>
        <v>0.25</v>
      </c>
      <c r="C8" s="16" t="n">
        <f aca="false">ROUND('Cai dat'!$B$9/(A8*'Cai dat'!$B$12),2)</f>
        <v>0.5</v>
      </c>
      <c r="D8" s="7" t="n">
        <f aca="false">'Cai dat'!$B$8</f>
        <v>50</v>
      </c>
      <c r="E8" s="7" t="n">
        <f aca="false">'Cai dat'!$B$9</f>
        <v>100</v>
      </c>
    </row>
    <row r="9" customFormat="false" ht="15" hidden="false" customHeight="false" outlineLevel="0" collapsed="false">
      <c r="A9" s="15" t="n">
        <v>25</v>
      </c>
      <c r="B9" s="16" t="n">
        <f aca="false">ROUND('Cai dat'!$B$8/(A9*'Cai dat'!$B$12),2)</f>
        <v>0.2</v>
      </c>
      <c r="C9" s="16" t="n">
        <f aca="false">ROUND('Cai dat'!$B$9/(A9*'Cai dat'!$B$12),2)</f>
        <v>0.4</v>
      </c>
      <c r="D9" s="7" t="n">
        <f aca="false">'Cai dat'!$B$8</f>
        <v>50</v>
      </c>
      <c r="E9" s="7" t="n">
        <f aca="false">'Cai dat'!$B$9</f>
        <v>100</v>
      </c>
    </row>
    <row r="10" customFormat="false" ht="15" hidden="false" customHeight="false" outlineLevel="0" collapsed="false">
      <c r="A10" s="15" t="n">
        <v>30</v>
      </c>
      <c r="B10" s="16" t="n">
        <f aca="false">ROUND('Cai dat'!$B$8/(A10*'Cai dat'!$B$12),2)</f>
        <v>0.17</v>
      </c>
      <c r="C10" s="16" t="n">
        <f aca="false">ROUND('Cai dat'!$B$9/(A10*'Cai dat'!$B$12),2)</f>
        <v>0.33</v>
      </c>
      <c r="D10" s="7" t="n">
        <f aca="false">'Cai dat'!$B$8</f>
        <v>50</v>
      </c>
      <c r="E10" s="7" t="n">
        <f aca="false">'Cai dat'!$B$9</f>
        <v>100</v>
      </c>
    </row>
    <row r="11" customFormat="false" ht="15" hidden="false" customHeight="false" outlineLevel="0" collapsed="false">
      <c r="A11" s="15" t="n">
        <v>40</v>
      </c>
      <c r="B11" s="16" t="n">
        <f aca="false">ROUND('Cai dat'!$B$8/(A11*'Cai dat'!$B$12),2)</f>
        <v>0.13</v>
      </c>
      <c r="C11" s="16" t="n">
        <f aca="false">ROUND('Cai dat'!$B$9/(A11*'Cai dat'!$B$12),2)</f>
        <v>0.25</v>
      </c>
      <c r="D11" s="7" t="n">
        <f aca="false">'Cai dat'!$B$8</f>
        <v>50</v>
      </c>
      <c r="E11" s="7" t="n">
        <f aca="false">'Cai dat'!$B$9</f>
        <v>100</v>
      </c>
    </row>
    <row r="12" customFormat="false" ht="15" hidden="false" customHeight="false" outlineLevel="0" collapsed="false">
      <c r="A12" s="15" t="n">
        <v>50</v>
      </c>
      <c r="B12" s="16" t="n">
        <f aca="false">ROUND('Cai dat'!$B$8/(A12*'Cai dat'!$B$12),2)</f>
        <v>0.1</v>
      </c>
      <c r="C12" s="16" t="n">
        <f aca="false">ROUND('Cai dat'!$B$9/(A12*'Cai dat'!$B$12),2)</f>
        <v>0.2</v>
      </c>
      <c r="D12" s="7" t="n">
        <f aca="false">'Cai dat'!$B$8</f>
        <v>50</v>
      </c>
      <c r="E12" s="7" t="n">
        <f aca="false">'Cai dat'!$B$9</f>
        <v>100</v>
      </c>
    </row>
    <row r="13" customFormat="false" ht="15" hidden="false" customHeight="false" outlineLevel="0" collapsed="false">
      <c r="A13" s="15" t="n">
        <v>75</v>
      </c>
      <c r="B13" s="16" t="n">
        <f aca="false">ROUND('Cai dat'!$B$8/(A13*'Cai dat'!$B$12),2)</f>
        <v>0.07</v>
      </c>
      <c r="C13" s="16" t="n">
        <f aca="false">ROUND('Cai dat'!$B$9/(A13*'Cai dat'!$B$12),2)</f>
        <v>0.13</v>
      </c>
      <c r="D13" s="7" t="n">
        <f aca="false">'Cai dat'!$B$8</f>
        <v>50</v>
      </c>
      <c r="E13" s="7" t="n">
        <f aca="false">'Cai dat'!$B$9</f>
        <v>100</v>
      </c>
    </row>
    <row r="14" customFormat="false" ht="15" hidden="false" customHeight="false" outlineLevel="0" collapsed="false">
      <c r="A14" s="15" t="n">
        <v>100</v>
      </c>
      <c r="B14" s="16" t="n">
        <f aca="false">ROUND('Cai dat'!$B$8/(A14*'Cai dat'!$B$12),2)</f>
        <v>0.05</v>
      </c>
      <c r="C14" s="16" t="n">
        <f aca="false">ROUND('Cai dat'!$B$9/(A14*'Cai dat'!$B$12),2)</f>
        <v>0.1</v>
      </c>
      <c r="D14" s="7" t="n">
        <f aca="false">'Cai dat'!$B$8</f>
        <v>50</v>
      </c>
      <c r="E14" s="7" t="n">
        <f aca="false">'Cai dat'!$B$9</f>
        <v>100</v>
      </c>
    </row>
    <row r="16" customFormat="false" ht="15" hidden="false" customHeight="true" outlineLevel="0" collapsed="false">
      <c r="A16" s="13" t="s">
        <v>28</v>
      </c>
      <c r="B16" s="13"/>
      <c r="C16" s="13"/>
      <c r="D16" s="13"/>
      <c r="E16" s="13"/>
    </row>
    <row r="17" customFormat="false" ht="15" hidden="false" customHeight="false" outlineLevel="0" collapsed="false">
      <c r="A17" s="14" t="s">
        <v>23</v>
      </c>
      <c r="B17" s="14" t="s">
        <v>24</v>
      </c>
      <c r="C17" s="14" t="s">
        <v>25</v>
      </c>
      <c r="D17" s="14" t="s">
        <v>26</v>
      </c>
      <c r="E17" s="14" t="s">
        <v>27</v>
      </c>
    </row>
    <row r="18" customFormat="false" ht="15" hidden="false" customHeight="false" outlineLevel="0" collapsed="false">
      <c r="A18" s="15" t="n">
        <v>10</v>
      </c>
      <c r="B18" s="16" t="n">
        <f aca="false">ROUND('Cai dat'!$B$8/(A18*'Cai dat'!$B$13),2)</f>
        <v>0.5</v>
      </c>
      <c r="C18" s="16" t="n">
        <f aca="false">ROUND('Cai dat'!$B$9/(A18*'Cai dat'!$B$13),2)</f>
        <v>1</v>
      </c>
      <c r="D18" s="7" t="n">
        <f aca="false">'Cai dat'!$B$8</f>
        <v>50</v>
      </c>
      <c r="E18" s="7" t="n">
        <f aca="false">'Cai dat'!$B$9</f>
        <v>100</v>
      </c>
    </row>
    <row r="19" customFormat="false" ht="15" hidden="false" customHeight="false" outlineLevel="0" collapsed="false">
      <c r="A19" s="15" t="n">
        <v>15</v>
      </c>
      <c r="B19" s="16" t="n">
        <f aca="false">ROUND('Cai dat'!$B$8/(A19*'Cai dat'!$B$13),2)</f>
        <v>0.33</v>
      </c>
      <c r="C19" s="16" t="n">
        <f aca="false">ROUND('Cai dat'!$B$9/(A19*'Cai dat'!$B$13),2)</f>
        <v>0.67</v>
      </c>
      <c r="D19" s="7" t="n">
        <f aca="false">'Cai dat'!$B$8</f>
        <v>50</v>
      </c>
      <c r="E19" s="7" t="n">
        <f aca="false">'Cai dat'!$B$9</f>
        <v>100</v>
      </c>
    </row>
    <row r="20" customFormat="false" ht="15" hidden="false" customHeight="false" outlineLevel="0" collapsed="false">
      <c r="A20" s="15" t="n">
        <v>20</v>
      </c>
      <c r="B20" s="16" t="n">
        <f aca="false">ROUND('Cai dat'!$B$8/(A20*'Cai dat'!$B$13),2)</f>
        <v>0.25</v>
      </c>
      <c r="C20" s="16" t="n">
        <f aca="false">ROUND('Cai dat'!$B$9/(A20*'Cai dat'!$B$13),2)</f>
        <v>0.5</v>
      </c>
      <c r="D20" s="7" t="n">
        <f aca="false">'Cai dat'!$B$8</f>
        <v>50</v>
      </c>
      <c r="E20" s="7" t="n">
        <f aca="false">'Cai dat'!$B$9</f>
        <v>100</v>
      </c>
    </row>
    <row r="21" customFormat="false" ht="15" hidden="false" customHeight="false" outlineLevel="0" collapsed="false">
      <c r="A21" s="15" t="n">
        <v>25</v>
      </c>
      <c r="B21" s="16" t="n">
        <f aca="false">ROUND('Cai dat'!$B$8/(A21*'Cai dat'!$B$13),2)</f>
        <v>0.2</v>
      </c>
      <c r="C21" s="16" t="n">
        <f aca="false">ROUND('Cai dat'!$B$9/(A21*'Cai dat'!$B$13),2)</f>
        <v>0.4</v>
      </c>
      <c r="D21" s="7" t="n">
        <f aca="false">'Cai dat'!$B$8</f>
        <v>50</v>
      </c>
      <c r="E21" s="7" t="n">
        <f aca="false">'Cai dat'!$B$9</f>
        <v>100</v>
      </c>
    </row>
    <row r="22" customFormat="false" ht="15" hidden="false" customHeight="false" outlineLevel="0" collapsed="false">
      <c r="A22" s="15" t="n">
        <v>30</v>
      </c>
      <c r="B22" s="16" t="n">
        <f aca="false">ROUND('Cai dat'!$B$8/(A22*'Cai dat'!$B$13),2)</f>
        <v>0.17</v>
      </c>
      <c r="C22" s="16" t="n">
        <f aca="false">ROUND('Cai dat'!$B$9/(A22*'Cai dat'!$B$13),2)</f>
        <v>0.33</v>
      </c>
      <c r="D22" s="7" t="n">
        <f aca="false">'Cai dat'!$B$8</f>
        <v>50</v>
      </c>
      <c r="E22" s="7" t="n">
        <f aca="false">'Cai dat'!$B$9</f>
        <v>100</v>
      </c>
    </row>
    <row r="23" customFormat="false" ht="15" hidden="false" customHeight="false" outlineLevel="0" collapsed="false">
      <c r="A23" s="15" t="n">
        <v>40</v>
      </c>
      <c r="B23" s="16" t="n">
        <f aca="false">ROUND('Cai dat'!$B$8/(A23*'Cai dat'!$B$13),2)</f>
        <v>0.13</v>
      </c>
      <c r="C23" s="16" t="n">
        <f aca="false">ROUND('Cai dat'!$B$9/(A23*'Cai dat'!$B$13),2)</f>
        <v>0.25</v>
      </c>
      <c r="D23" s="7" t="n">
        <f aca="false">'Cai dat'!$B$8</f>
        <v>50</v>
      </c>
      <c r="E23" s="7" t="n">
        <f aca="false">'Cai dat'!$B$9</f>
        <v>100</v>
      </c>
    </row>
    <row r="24" customFormat="false" ht="15" hidden="false" customHeight="false" outlineLevel="0" collapsed="false">
      <c r="A24" s="15" t="n">
        <v>50</v>
      </c>
      <c r="B24" s="16" t="n">
        <f aca="false">ROUND('Cai dat'!$B$8/(A24*'Cai dat'!$B$13),2)</f>
        <v>0.1</v>
      </c>
      <c r="C24" s="16" t="n">
        <f aca="false">ROUND('Cai dat'!$B$9/(A24*'Cai dat'!$B$13),2)</f>
        <v>0.2</v>
      </c>
      <c r="D24" s="7" t="n">
        <f aca="false">'Cai dat'!$B$8</f>
        <v>50</v>
      </c>
      <c r="E24" s="7" t="n">
        <f aca="false">'Cai dat'!$B$9</f>
        <v>100</v>
      </c>
    </row>
    <row r="25" customFormat="false" ht="15" hidden="false" customHeight="false" outlineLevel="0" collapsed="false">
      <c r="A25" s="15" t="n">
        <v>75</v>
      </c>
      <c r="B25" s="16" t="n">
        <f aca="false">ROUND('Cai dat'!$B$8/(A25*'Cai dat'!$B$13),2)</f>
        <v>0.07</v>
      </c>
      <c r="C25" s="16" t="n">
        <f aca="false">ROUND('Cai dat'!$B$9/(A25*'Cai dat'!$B$13),2)</f>
        <v>0.13</v>
      </c>
      <c r="D25" s="7" t="n">
        <f aca="false">'Cai dat'!$B$8</f>
        <v>50</v>
      </c>
      <c r="E25" s="7" t="n">
        <f aca="false">'Cai dat'!$B$9</f>
        <v>100</v>
      </c>
    </row>
    <row r="26" customFormat="false" ht="15" hidden="false" customHeight="false" outlineLevel="0" collapsed="false">
      <c r="A26" s="15" t="n">
        <v>100</v>
      </c>
      <c r="B26" s="16" t="n">
        <f aca="false">ROUND('Cai dat'!$B$8/(A26*'Cai dat'!$B$13),2)</f>
        <v>0.05</v>
      </c>
      <c r="C26" s="16" t="n">
        <f aca="false">ROUND('Cai dat'!$B$9/(A26*'Cai dat'!$B$13),2)</f>
        <v>0.1</v>
      </c>
      <c r="D26" s="7" t="n">
        <f aca="false">'Cai dat'!$B$8</f>
        <v>50</v>
      </c>
      <c r="E26" s="7" t="n">
        <f aca="false">'Cai dat'!$B$9</f>
        <v>100</v>
      </c>
    </row>
    <row r="28" customFormat="false" ht="15" hidden="false" customHeight="true" outlineLevel="0" collapsed="false">
      <c r="A28" s="13" t="s">
        <v>29</v>
      </c>
      <c r="B28" s="13"/>
      <c r="C28" s="13"/>
      <c r="D28" s="13"/>
      <c r="E28" s="13"/>
    </row>
    <row r="29" customFormat="false" ht="15" hidden="false" customHeight="false" outlineLevel="0" collapsed="false">
      <c r="A29" s="14" t="s">
        <v>30</v>
      </c>
      <c r="B29" s="14" t="s">
        <v>24</v>
      </c>
      <c r="C29" s="14" t="s">
        <v>25</v>
      </c>
      <c r="D29" s="14" t="s">
        <v>26</v>
      </c>
      <c r="E29" s="14" t="s">
        <v>27</v>
      </c>
    </row>
    <row r="30" customFormat="false" ht="15" hidden="false" customHeight="false" outlineLevel="0" collapsed="false">
      <c r="A30" s="17" t="n">
        <v>2</v>
      </c>
      <c r="B30" s="16" t="n">
        <f aca="false">ROUND('Cai dat'!$B$8/(A30*'Cai dat'!$B$14),2)</f>
        <v>0.25</v>
      </c>
      <c r="C30" s="16" t="n">
        <f aca="false">ROUND('Cai dat'!$B$9/(A30*'Cai dat'!$B$14),2)</f>
        <v>0.5</v>
      </c>
      <c r="D30" s="7" t="n">
        <f aca="false">'Cai dat'!$B$8</f>
        <v>50</v>
      </c>
      <c r="E30" s="7" t="n">
        <f aca="false">'Cai dat'!$B$9</f>
        <v>100</v>
      </c>
    </row>
    <row r="31" customFormat="false" ht="15" hidden="false" customHeight="false" outlineLevel="0" collapsed="false">
      <c r="A31" s="17" t="n">
        <v>3</v>
      </c>
      <c r="B31" s="16" t="n">
        <f aca="false">ROUND('Cai dat'!$B$8/(A31*'Cai dat'!$B$14),2)</f>
        <v>0.17</v>
      </c>
      <c r="C31" s="16" t="n">
        <f aca="false">ROUND('Cai dat'!$B$9/(A31*'Cai dat'!$B$14),2)</f>
        <v>0.33</v>
      </c>
      <c r="D31" s="7" t="n">
        <f aca="false">'Cai dat'!$B$8</f>
        <v>50</v>
      </c>
      <c r="E31" s="7" t="n">
        <f aca="false">'Cai dat'!$B$9</f>
        <v>100</v>
      </c>
    </row>
    <row r="32" customFormat="false" ht="15" hidden="false" customHeight="false" outlineLevel="0" collapsed="false">
      <c r="A32" s="17" t="n">
        <v>5</v>
      </c>
      <c r="B32" s="16" t="n">
        <f aca="false">ROUND('Cai dat'!$B$8/(A32*'Cai dat'!$B$14),2)</f>
        <v>0.1</v>
      </c>
      <c r="C32" s="16" t="n">
        <f aca="false">ROUND('Cai dat'!$B$9/(A32*'Cai dat'!$B$14),2)</f>
        <v>0.2</v>
      </c>
      <c r="D32" s="7" t="n">
        <f aca="false">'Cai dat'!$B$8</f>
        <v>50</v>
      </c>
      <c r="E32" s="7" t="n">
        <f aca="false">'Cai dat'!$B$9</f>
        <v>100</v>
      </c>
    </row>
    <row r="33" customFormat="false" ht="15" hidden="false" customHeight="false" outlineLevel="0" collapsed="false">
      <c r="A33" s="17" t="n">
        <v>7</v>
      </c>
      <c r="B33" s="16" t="n">
        <f aca="false">ROUND('Cai dat'!$B$8/(A33*'Cai dat'!$B$14),2)</f>
        <v>0.07</v>
      </c>
      <c r="C33" s="16" t="n">
        <f aca="false">ROUND('Cai dat'!$B$9/(A33*'Cai dat'!$B$14),2)</f>
        <v>0.14</v>
      </c>
      <c r="D33" s="7" t="n">
        <f aca="false">'Cai dat'!$B$8</f>
        <v>50</v>
      </c>
      <c r="E33" s="7" t="n">
        <f aca="false">'Cai dat'!$B$9</f>
        <v>100</v>
      </c>
    </row>
    <row r="34" customFormat="false" ht="15" hidden="false" customHeight="false" outlineLevel="0" collapsed="false">
      <c r="A34" s="17" t="n">
        <v>10</v>
      </c>
      <c r="B34" s="16" t="n">
        <f aca="false">ROUND('Cai dat'!$B$8/(A34*'Cai dat'!$B$14),2)</f>
        <v>0.05</v>
      </c>
      <c r="C34" s="16" t="n">
        <f aca="false">ROUND('Cai dat'!$B$9/(A34*'Cai dat'!$B$14),2)</f>
        <v>0.1</v>
      </c>
      <c r="D34" s="7" t="n">
        <f aca="false">'Cai dat'!$B$8</f>
        <v>50</v>
      </c>
      <c r="E34" s="7" t="n">
        <f aca="false">'Cai dat'!$B$9</f>
        <v>100</v>
      </c>
    </row>
    <row r="35" customFormat="false" ht="15" hidden="false" customHeight="false" outlineLevel="0" collapsed="false">
      <c r="A35" s="17" t="n">
        <v>15</v>
      </c>
      <c r="B35" s="16" t="n">
        <f aca="false">ROUND('Cai dat'!$B$8/(A35*'Cai dat'!$B$14),2)</f>
        <v>0.03</v>
      </c>
      <c r="C35" s="16" t="n">
        <f aca="false">ROUND('Cai dat'!$B$9/(A35*'Cai dat'!$B$14),2)</f>
        <v>0.07</v>
      </c>
      <c r="D35" s="7" t="n">
        <f aca="false">'Cai dat'!$B$8</f>
        <v>50</v>
      </c>
      <c r="E35" s="7" t="n">
        <f aca="false">'Cai dat'!$B$9</f>
        <v>100</v>
      </c>
    </row>
    <row r="36" customFormat="false" ht="15" hidden="false" customHeight="false" outlineLevel="0" collapsed="false">
      <c r="A36" s="17" t="n">
        <v>20</v>
      </c>
      <c r="B36" s="16" t="n">
        <f aca="false">ROUND('Cai dat'!$B$8/(A36*'Cai dat'!$B$14),2)</f>
        <v>0.03</v>
      </c>
      <c r="C36" s="16" t="n">
        <f aca="false">ROUND('Cai dat'!$B$9/(A36*'Cai dat'!$B$14),2)</f>
        <v>0.05</v>
      </c>
      <c r="D36" s="7" t="n">
        <f aca="false">'Cai dat'!$B$8</f>
        <v>50</v>
      </c>
      <c r="E36" s="7" t="n">
        <f aca="false">'Cai dat'!$B$9</f>
        <v>100</v>
      </c>
    </row>
    <row r="38" customFormat="false" ht="15" hidden="false" customHeight="true" outlineLevel="0" collapsed="false">
      <c r="A38" s="13" t="s">
        <v>31</v>
      </c>
      <c r="B38" s="13"/>
      <c r="C38" s="13"/>
      <c r="D38" s="13"/>
      <c r="E38" s="13"/>
    </row>
    <row r="39" customFormat="false" ht="15" hidden="false" customHeight="false" outlineLevel="0" collapsed="false">
      <c r="A39" s="14" t="s">
        <v>32</v>
      </c>
      <c r="B39" s="14" t="s">
        <v>24</v>
      </c>
      <c r="C39" s="14" t="s">
        <v>25</v>
      </c>
      <c r="D39" s="14" t="s">
        <v>26</v>
      </c>
      <c r="E39" s="14" t="s">
        <v>27</v>
      </c>
    </row>
    <row r="40" customFormat="false" ht="15" hidden="false" customHeight="false" outlineLevel="0" collapsed="false">
      <c r="A40" s="15" t="n">
        <v>20</v>
      </c>
      <c r="B40" s="16" t="n">
        <f aca="false">ROUND('Cai dat'!$B$8/(A40*'Cai dat'!$B$15),2)</f>
        <v>2.5</v>
      </c>
      <c r="C40" s="16" t="n">
        <f aca="false">ROUND('Cai dat'!$B$9/(A40*'Cai dat'!$B$15),2)</f>
        <v>5</v>
      </c>
      <c r="D40" s="7" t="n">
        <f aca="false">'Cai dat'!$B$8</f>
        <v>50</v>
      </c>
      <c r="E40" s="7" t="n">
        <f aca="false">'Cai dat'!$B$9</f>
        <v>100</v>
      </c>
    </row>
    <row r="41" customFormat="false" ht="15" hidden="false" customHeight="false" outlineLevel="0" collapsed="false">
      <c r="A41" s="15" t="n">
        <v>30</v>
      </c>
      <c r="B41" s="16" t="n">
        <f aca="false">ROUND('Cai dat'!$B$8/(A41*'Cai dat'!$B$15),2)</f>
        <v>1.67</v>
      </c>
      <c r="C41" s="16" t="n">
        <f aca="false">ROUND('Cai dat'!$B$9/(A41*'Cai dat'!$B$15),2)</f>
        <v>3.33</v>
      </c>
      <c r="D41" s="7" t="n">
        <f aca="false">'Cai dat'!$B$8</f>
        <v>50</v>
      </c>
      <c r="E41" s="7" t="n">
        <f aca="false">'Cai dat'!$B$9</f>
        <v>100</v>
      </c>
    </row>
    <row r="42" customFormat="false" ht="15" hidden="false" customHeight="false" outlineLevel="0" collapsed="false">
      <c r="A42" s="15" t="n">
        <v>50</v>
      </c>
      <c r="B42" s="16" t="n">
        <f aca="false">ROUND('Cai dat'!$B$8/(A42*'Cai dat'!$B$15),2)</f>
        <v>1</v>
      </c>
      <c r="C42" s="16" t="n">
        <f aca="false">ROUND('Cai dat'!$B$9/(A42*'Cai dat'!$B$15),2)</f>
        <v>2</v>
      </c>
      <c r="D42" s="7" t="n">
        <f aca="false">'Cai dat'!$B$8</f>
        <v>50</v>
      </c>
      <c r="E42" s="7" t="n">
        <f aca="false">'Cai dat'!$B$9</f>
        <v>100</v>
      </c>
    </row>
    <row r="43" customFormat="false" ht="15" hidden="false" customHeight="false" outlineLevel="0" collapsed="false">
      <c r="A43" s="15" t="n">
        <v>75</v>
      </c>
      <c r="B43" s="16" t="n">
        <f aca="false">ROUND('Cai dat'!$B$8/(A43*'Cai dat'!$B$15),2)</f>
        <v>0.67</v>
      </c>
      <c r="C43" s="16" t="n">
        <f aca="false">ROUND('Cai dat'!$B$9/(A43*'Cai dat'!$B$15),2)</f>
        <v>1.33</v>
      </c>
      <c r="D43" s="7" t="n">
        <f aca="false">'Cai dat'!$B$8</f>
        <v>50</v>
      </c>
      <c r="E43" s="7" t="n">
        <f aca="false">'Cai dat'!$B$9</f>
        <v>100</v>
      </c>
    </row>
    <row r="44" customFormat="false" ht="15" hidden="false" customHeight="false" outlineLevel="0" collapsed="false">
      <c r="A44" s="15" t="n">
        <v>100</v>
      </c>
      <c r="B44" s="16" t="n">
        <f aca="false">ROUND('Cai dat'!$B$8/(A44*'Cai dat'!$B$15),2)</f>
        <v>0.5</v>
      </c>
      <c r="C44" s="16" t="n">
        <f aca="false">ROUND('Cai dat'!$B$9/(A44*'Cai dat'!$B$15),2)</f>
        <v>1</v>
      </c>
      <c r="D44" s="7" t="n">
        <f aca="false">'Cai dat'!$B$8</f>
        <v>50</v>
      </c>
      <c r="E44" s="7" t="n">
        <f aca="false">'Cai dat'!$B$9</f>
        <v>100</v>
      </c>
    </row>
    <row r="45" customFormat="false" ht="15" hidden="false" customHeight="false" outlineLevel="0" collapsed="false">
      <c r="A45" s="15" t="n">
        <v>150</v>
      </c>
      <c r="B45" s="16" t="n">
        <f aca="false">ROUND('Cai dat'!$B$8/(A45*'Cai dat'!$B$15),2)</f>
        <v>0.33</v>
      </c>
      <c r="C45" s="16" t="n">
        <f aca="false">ROUND('Cai dat'!$B$9/(A45*'Cai dat'!$B$15),2)</f>
        <v>0.67</v>
      </c>
      <c r="D45" s="7" t="n">
        <f aca="false">'Cai dat'!$B$8</f>
        <v>50</v>
      </c>
      <c r="E45" s="7" t="n">
        <f aca="false">'Cai dat'!$B$9</f>
        <v>100</v>
      </c>
    </row>
    <row r="46" customFormat="false" ht="15" hidden="false" customHeight="false" outlineLevel="0" collapsed="false">
      <c r="A46" s="15" t="n">
        <v>200</v>
      </c>
      <c r="B46" s="16" t="n">
        <f aca="false">ROUND('Cai dat'!$B$8/(A46*'Cai dat'!$B$15),2)</f>
        <v>0.25</v>
      </c>
      <c r="C46" s="16" t="n">
        <f aca="false">ROUND('Cai dat'!$B$9/(A46*'Cai dat'!$B$15),2)</f>
        <v>0.5</v>
      </c>
      <c r="D46" s="7" t="n">
        <f aca="false">'Cai dat'!$B$8</f>
        <v>50</v>
      </c>
      <c r="E46" s="7" t="n">
        <f aca="false">'Cai dat'!$B$9</f>
        <v>100</v>
      </c>
    </row>
  </sheetData>
  <mergeCells count="6">
    <mergeCell ref="A1:E1"/>
    <mergeCell ref="A2:E2"/>
    <mergeCell ref="A4:E4"/>
    <mergeCell ref="A16:E16"/>
    <mergeCell ref="A28:E28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13" t="s">
        <v>34</v>
      </c>
      <c r="B3" s="13"/>
      <c r="C3" s="13"/>
      <c r="D3" s="13"/>
      <c r="E3" s="13"/>
      <c r="F3" s="13"/>
      <c r="G3" s="13"/>
    </row>
    <row r="4" customFormat="false" ht="15" hidden="false" customHeight="false" outlineLevel="0" collapsed="false">
      <c r="A4" s="3" t="s">
        <v>35</v>
      </c>
      <c r="B4" s="5" t="n">
        <v>0.5</v>
      </c>
    </row>
    <row r="5" customFormat="false" ht="15" hidden="false" customHeight="false" outlineLevel="0" collapsed="false">
      <c r="A5" s="3" t="s">
        <v>36</v>
      </c>
      <c r="B5" s="18" t="n">
        <v>2</v>
      </c>
    </row>
    <row r="6" customFormat="false" ht="15" hidden="false" customHeight="false" outlineLevel="0" collapsed="false">
      <c r="A6" s="3" t="s">
        <v>37</v>
      </c>
      <c r="B6" s="5" t="n">
        <v>0.01</v>
      </c>
    </row>
    <row r="7" customFormat="false" ht="15" hidden="false" customHeight="false" outlineLevel="0" collapsed="false">
      <c r="A7" s="3" t="s">
        <v>5</v>
      </c>
      <c r="B7" s="15" t="n">
        <f aca="false">'Cai dat'!$B$7</f>
        <v>20</v>
      </c>
    </row>
    <row r="8" customFormat="false" ht="23.85" hidden="false" customHeight="false" outlineLevel="0" collapsed="false">
      <c r="A8" s="3" t="s">
        <v>38</v>
      </c>
      <c r="B8" s="16" t="n">
        <f aca="false">B4*B5-(1-B4)</f>
        <v>0.5</v>
      </c>
    </row>
    <row r="9" customFormat="false" ht="15" hidden="false" customHeight="false" outlineLevel="0" collapsed="false">
      <c r="A9" s="3" t="s">
        <v>39</v>
      </c>
      <c r="B9" s="7" t="n">
        <f aca="false">'Cai dat'!$B$4*B6</f>
        <v>100</v>
      </c>
    </row>
    <row r="10" customFormat="false" ht="15" hidden="false" customHeight="false" outlineLevel="0" collapsed="false">
      <c r="A10" s="3" t="s">
        <v>40</v>
      </c>
      <c r="B10" s="19" t="n">
        <f aca="false">B8*B9</f>
        <v>50</v>
      </c>
    </row>
    <row r="11" customFormat="false" ht="15" hidden="false" customHeight="false" outlineLevel="0" collapsed="false">
      <c r="A11" s="3" t="s">
        <v>41</v>
      </c>
      <c r="B11" s="20" t="n">
        <f aca="false">B10*B7</f>
        <v>1000</v>
      </c>
    </row>
    <row r="12" customFormat="false" ht="15" hidden="false" customHeight="false" outlineLevel="0" collapsed="false">
      <c r="A12" s="3" t="s">
        <v>42</v>
      </c>
      <c r="B12" s="21" t="n">
        <f aca="false">B11/'Cai dat'!$B$4</f>
        <v>0.1</v>
      </c>
    </row>
    <row r="15" customFormat="false" ht="15" hidden="false" customHeight="true" outlineLevel="0" collapsed="false">
      <c r="A15" s="13" t="s">
        <v>43</v>
      </c>
      <c r="B15" s="13"/>
      <c r="C15" s="13"/>
      <c r="D15" s="13"/>
      <c r="E15" s="13"/>
      <c r="F15" s="13"/>
      <c r="G15" s="13"/>
    </row>
    <row r="16" customFormat="false" ht="15" hidden="false" customHeight="false" outlineLevel="0" collapsed="false">
      <c r="A16" s="14" t="s">
        <v>44</v>
      </c>
      <c r="B16" s="22" t="n">
        <v>0.3</v>
      </c>
      <c r="C16" s="22" t="n">
        <v>0.4</v>
      </c>
      <c r="D16" s="22" t="n">
        <v>0.5</v>
      </c>
      <c r="E16" s="22" t="n">
        <v>0.6</v>
      </c>
      <c r="F16" s="22" t="n">
        <v>0.7</v>
      </c>
    </row>
    <row r="17" customFormat="false" ht="15" hidden="false" customHeight="false" outlineLevel="0" collapsed="false">
      <c r="A17" s="23" t="n">
        <v>1</v>
      </c>
      <c r="B17" s="16" t="n">
        <f aca="false">B$16*$A17-(1-B$16)</f>
        <v>-0.4</v>
      </c>
      <c r="C17" s="16" t="n">
        <f aca="false">C$16*$A17-(1-C$16)</f>
        <v>-0.2</v>
      </c>
      <c r="D17" s="16" t="n">
        <f aca="false">D$16*$A17-(1-D$16)</f>
        <v>0</v>
      </c>
      <c r="E17" s="16" t="n">
        <f aca="false">E$16*$A17-(1-E$16)</f>
        <v>0.2</v>
      </c>
      <c r="F17" s="16" t="n">
        <f aca="false">F$16*$A17-(1-F$16)</f>
        <v>0.4</v>
      </c>
    </row>
    <row r="18" customFormat="false" ht="15" hidden="false" customHeight="false" outlineLevel="0" collapsed="false">
      <c r="A18" s="23" t="n">
        <v>1.5</v>
      </c>
      <c r="B18" s="16" t="n">
        <f aca="false">B$16*$A18-(1-B$16)</f>
        <v>-0.25</v>
      </c>
      <c r="C18" s="16" t="n">
        <f aca="false">C$16*$A18-(1-C$16)</f>
        <v>0</v>
      </c>
      <c r="D18" s="16" t="n">
        <f aca="false">D$16*$A18-(1-D$16)</f>
        <v>0.25</v>
      </c>
      <c r="E18" s="16" t="n">
        <f aca="false">E$16*$A18-(1-E$16)</f>
        <v>0.5</v>
      </c>
      <c r="F18" s="16" t="n">
        <f aca="false">F$16*$A18-(1-F$16)</f>
        <v>0.75</v>
      </c>
    </row>
    <row r="19" customFormat="false" ht="15" hidden="false" customHeight="false" outlineLevel="0" collapsed="false">
      <c r="A19" s="23" t="n">
        <v>2</v>
      </c>
      <c r="B19" s="16" t="n">
        <f aca="false">B$16*$A19-(1-B$16)</f>
        <v>-0.1</v>
      </c>
      <c r="C19" s="16" t="n">
        <f aca="false">C$16*$A19-(1-C$16)</f>
        <v>0.2</v>
      </c>
      <c r="D19" s="16" t="n">
        <f aca="false">D$16*$A19-(1-D$16)</f>
        <v>0.5</v>
      </c>
      <c r="E19" s="16" t="n">
        <f aca="false">E$16*$A19-(1-E$16)</f>
        <v>0.8</v>
      </c>
      <c r="F19" s="16" t="n">
        <f aca="false">F$16*$A19-(1-F$16)</f>
        <v>1.1</v>
      </c>
    </row>
    <row r="20" customFormat="false" ht="15" hidden="false" customHeight="false" outlineLevel="0" collapsed="false">
      <c r="A20" s="23" t="n">
        <v>2.5</v>
      </c>
      <c r="B20" s="16" t="n">
        <f aca="false">B$16*$A20-(1-B$16)</f>
        <v>0.05</v>
      </c>
      <c r="C20" s="16" t="n">
        <f aca="false">C$16*$A20-(1-C$16)</f>
        <v>0.4</v>
      </c>
      <c r="D20" s="16" t="n">
        <f aca="false">D$16*$A20-(1-D$16)</f>
        <v>0.75</v>
      </c>
      <c r="E20" s="16" t="n">
        <f aca="false">E$16*$A20-(1-E$16)</f>
        <v>1.1</v>
      </c>
      <c r="F20" s="16" t="n">
        <f aca="false">F$16*$A20-(1-F$16)</f>
        <v>1.45</v>
      </c>
    </row>
    <row r="21" customFormat="false" ht="15" hidden="false" customHeight="false" outlineLevel="0" collapsed="false">
      <c r="A21" s="23" t="n">
        <v>3</v>
      </c>
      <c r="B21" s="16" t="n">
        <f aca="false">B$16*$A21-(1-B$16)</f>
        <v>0.2</v>
      </c>
      <c r="C21" s="16" t="n">
        <f aca="false">C$16*$A21-(1-C$16)</f>
        <v>0.6</v>
      </c>
      <c r="D21" s="16" t="n">
        <f aca="false">D$16*$A21-(1-D$16)</f>
        <v>1</v>
      </c>
      <c r="E21" s="16" t="n">
        <f aca="false">E$16*$A21-(1-E$16)</f>
        <v>1.4</v>
      </c>
      <c r="F21" s="16" t="n">
        <f aca="false">F$16*$A21-(1-F$16)</f>
        <v>1.8</v>
      </c>
    </row>
    <row r="23" customFormat="false" ht="15" hidden="false" customHeight="true" outlineLevel="0" collapsed="false">
      <c r="A23" s="13" t="s">
        <v>45</v>
      </c>
      <c r="B23" s="13"/>
      <c r="C23" s="13"/>
      <c r="D23" s="13"/>
      <c r="E23" s="13"/>
      <c r="F23" s="13"/>
      <c r="G23" s="13"/>
    </row>
    <row r="24" customFormat="false" ht="15" hidden="false" customHeight="false" outlineLevel="0" collapsed="false">
      <c r="A24" s="14" t="s">
        <v>44</v>
      </c>
      <c r="B24" s="22" t="n">
        <v>0.3</v>
      </c>
      <c r="C24" s="22" t="n">
        <v>0.4</v>
      </c>
      <c r="D24" s="22" t="n">
        <v>0.5</v>
      </c>
      <c r="E24" s="22" t="n">
        <v>0.6</v>
      </c>
      <c r="F24" s="22" t="n">
        <v>0.7</v>
      </c>
    </row>
    <row r="25" customFormat="false" ht="15" hidden="false" customHeight="false" outlineLevel="0" collapsed="false">
      <c r="A25" s="23" t="n">
        <v>1</v>
      </c>
      <c r="B25" s="7" t="n">
        <f aca="false">(B$24*$A25-(1-B$24))*'Cai dat'!$B$7*'Cai dat'!$B$9</f>
        <v>-800</v>
      </c>
      <c r="C25" s="7" t="n">
        <f aca="false">(C$24*$A25-(1-C$24))*'Cai dat'!$B$7*'Cai dat'!$B$9</f>
        <v>-400</v>
      </c>
      <c r="D25" s="7" t="n">
        <f aca="false">(D$24*$A25-(1-D$24))*'Cai dat'!$B$7*'Cai dat'!$B$9</f>
        <v>0</v>
      </c>
      <c r="E25" s="7" t="n">
        <f aca="false">(E$24*$A25-(1-E$24))*'Cai dat'!$B$7*'Cai dat'!$B$9</f>
        <v>400</v>
      </c>
      <c r="F25" s="7" t="n">
        <f aca="false">(F$24*$A25-(1-F$24))*'Cai dat'!$B$7*'Cai dat'!$B$9</f>
        <v>800</v>
      </c>
    </row>
    <row r="26" customFormat="false" ht="15" hidden="false" customHeight="false" outlineLevel="0" collapsed="false">
      <c r="A26" s="23" t="n">
        <v>1.5</v>
      </c>
      <c r="B26" s="7" t="n">
        <f aca="false">(B$24*$A26-(1-B$24))*'Cai dat'!$B$7*'Cai dat'!$B$9</f>
        <v>-500</v>
      </c>
      <c r="C26" s="7" t="n">
        <f aca="false">(C$24*$A26-(1-C$24))*'Cai dat'!$B$7*'Cai dat'!$B$9</f>
        <v>0</v>
      </c>
      <c r="D26" s="7" t="n">
        <f aca="false">(D$24*$A26-(1-D$24))*'Cai dat'!$B$7*'Cai dat'!$B$9</f>
        <v>500</v>
      </c>
      <c r="E26" s="7" t="n">
        <f aca="false">(E$24*$A26-(1-E$24))*'Cai dat'!$B$7*'Cai dat'!$B$9</f>
        <v>1000</v>
      </c>
      <c r="F26" s="7" t="n">
        <f aca="false">(F$24*$A26-(1-F$24))*'Cai dat'!$B$7*'Cai dat'!$B$9</f>
        <v>1500</v>
      </c>
    </row>
    <row r="27" customFormat="false" ht="15" hidden="false" customHeight="false" outlineLevel="0" collapsed="false">
      <c r="A27" s="23" t="n">
        <v>2</v>
      </c>
      <c r="B27" s="7" t="n">
        <f aca="false">(B$24*$A27-(1-B$24))*'Cai dat'!$B$7*'Cai dat'!$B$9</f>
        <v>-200</v>
      </c>
      <c r="C27" s="7" t="n">
        <f aca="false">(C$24*$A27-(1-C$24))*'Cai dat'!$B$7*'Cai dat'!$B$9</f>
        <v>400</v>
      </c>
      <c r="D27" s="7" t="n">
        <f aca="false">(D$24*$A27-(1-D$24))*'Cai dat'!$B$7*'Cai dat'!$B$9</f>
        <v>1000</v>
      </c>
      <c r="E27" s="7" t="n">
        <f aca="false">(E$24*$A27-(1-E$24))*'Cai dat'!$B$7*'Cai dat'!$B$9</f>
        <v>1600</v>
      </c>
      <c r="F27" s="7" t="n">
        <f aca="false">(F$24*$A27-(1-F$24))*'Cai dat'!$B$7*'Cai dat'!$B$9</f>
        <v>2200</v>
      </c>
    </row>
    <row r="28" customFormat="false" ht="15" hidden="false" customHeight="false" outlineLevel="0" collapsed="false">
      <c r="A28" s="23" t="n">
        <v>2.5</v>
      </c>
      <c r="B28" s="7" t="n">
        <f aca="false">(B$24*$A28-(1-B$24))*'Cai dat'!$B$7*'Cai dat'!$B$9</f>
        <v>100</v>
      </c>
      <c r="C28" s="7" t="n">
        <f aca="false">(C$24*$A28-(1-C$24))*'Cai dat'!$B$7*'Cai dat'!$B$9</f>
        <v>800</v>
      </c>
      <c r="D28" s="7" t="n">
        <f aca="false">(D$24*$A28-(1-D$24))*'Cai dat'!$B$7*'Cai dat'!$B$9</f>
        <v>1500</v>
      </c>
      <c r="E28" s="7" t="n">
        <f aca="false">(E$24*$A28-(1-E$24))*'Cai dat'!$B$7*'Cai dat'!$B$9</f>
        <v>2200</v>
      </c>
      <c r="F28" s="7" t="n">
        <f aca="false">(F$24*$A28-(1-F$24))*'Cai dat'!$B$7*'Cai dat'!$B$9</f>
        <v>2900</v>
      </c>
    </row>
    <row r="29" customFormat="false" ht="15" hidden="false" customHeight="false" outlineLevel="0" collapsed="false">
      <c r="A29" s="23" t="n">
        <v>3</v>
      </c>
      <c r="B29" s="7" t="n">
        <f aca="false">(B$24*$A29-(1-B$24))*'Cai dat'!$B$7*'Cai dat'!$B$9</f>
        <v>400</v>
      </c>
      <c r="C29" s="7" t="n">
        <f aca="false">(C$24*$A29-(1-C$24))*'Cai dat'!$B$7*'Cai dat'!$B$9</f>
        <v>1200</v>
      </c>
      <c r="D29" s="7" t="n">
        <f aca="false">(D$24*$A29-(1-D$24))*'Cai dat'!$B$7*'Cai dat'!$B$9</f>
        <v>2000</v>
      </c>
      <c r="E29" s="7" t="n">
        <f aca="false">(E$24*$A29-(1-E$24))*'Cai dat'!$B$7*'Cai dat'!$B$9</f>
        <v>2800</v>
      </c>
      <c r="F29" s="7" t="n">
        <f aca="false">(F$24*$A29-(1-F$24))*'Cai dat'!$B$7*'Cai dat'!$B$9</f>
        <v>3600</v>
      </c>
    </row>
    <row r="31" customFormat="false" ht="15" hidden="false" customHeight="true" outlineLevel="0" collapsed="false">
      <c r="A31" s="13" t="s">
        <v>46</v>
      </c>
      <c r="B31" s="13"/>
      <c r="C31" s="13"/>
      <c r="D31" s="13"/>
      <c r="E31" s="13"/>
      <c r="F31" s="13"/>
      <c r="G31" s="13"/>
    </row>
    <row r="32" customFormat="false" ht="15" hidden="false" customHeight="false" outlineLevel="0" collapsed="false">
      <c r="A32" s="14" t="s">
        <v>44</v>
      </c>
      <c r="B32" s="22" t="n">
        <v>0.3</v>
      </c>
      <c r="C32" s="22" t="n">
        <v>0.4</v>
      </c>
      <c r="D32" s="22" t="n">
        <v>0.5</v>
      </c>
      <c r="E32" s="22" t="n">
        <v>0.6</v>
      </c>
      <c r="F32" s="22" t="n">
        <v>0.7</v>
      </c>
    </row>
    <row r="33" customFormat="false" ht="15" hidden="false" customHeight="false" outlineLevel="0" collapsed="false">
      <c r="A33" s="23" t="n">
        <v>1</v>
      </c>
      <c r="B33" s="7" t="n">
        <f aca="false">(B$32*$A33-(1-B$32))*'Cai dat'!$B$7*'Cai dat'!$B$8</f>
        <v>-400</v>
      </c>
      <c r="C33" s="7" t="n">
        <f aca="false">(C$32*$A33-(1-C$32))*'Cai dat'!$B$7*'Cai dat'!$B$8</f>
        <v>-200</v>
      </c>
      <c r="D33" s="7" t="n">
        <f aca="false">(D$32*$A33-(1-D$32))*'Cai dat'!$B$7*'Cai dat'!$B$8</f>
        <v>0</v>
      </c>
      <c r="E33" s="7" t="n">
        <f aca="false">(E$32*$A33-(1-E$32))*'Cai dat'!$B$7*'Cai dat'!$B$8</f>
        <v>200</v>
      </c>
      <c r="F33" s="7" t="n">
        <f aca="false">(F$32*$A33-(1-F$32))*'Cai dat'!$B$7*'Cai dat'!$B$8</f>
        <v>400</v>
      </c>
    </row>
    <row r="34" customFormat="false" ht="15" hidden="false" customHeight="false" outlineLevel="0" collapsed="false">
      <c r="A34" s="23" t="n">
        <v>1.5</v>
      </c>
      <c r="B34" s="7" t="n">
        <f aca="false">(B$32*$A34-(1-B$32))*'Cai dat'!$B$7*'Cai dat'!$B$8</f>
        <v>-250</v>
      </c>
      <c r="C34" s="7" t="n">
        <f aca="false">(C$32*$A34-(1-C$32))*'Cai dat'!$B$7*'Cai dat'!$B$8</f>
        <v>0</v>
      </c>
      <c r="D34" s="7" t="n">
        <f aca="false">(D$32*$A34-(1-D$32))*'Cai dat'!$B$7*'Cai dat'!$B$8</f>
        <v>250</v>
      </c>
      <c r="E34" s="7" t="n">
        <f aca="false">(E$32*$A34-(1-E$32))*'Cai dat'!$B$7*'Cai dat'!$B$8</f>
        <v>500</v>
      </c>
      <c r="F34" s="7" t="n">
        <f aca="false">(F$32*$A34-(1-F$32))*'Cai dat'!$B$7*'Cai dat'!$B$8</f>
        <v>750</v>
      </c>
    </row>
    <row r="35" customFormat="false" ht="15" hidden="false" customHeight="false" outlineLevel="0" collapsed="false">
      <c r="A35" s="23" t="n">
        <v>2</v>
      </c>
      <c r="B35" s="7" t="n">
        <f aca="false">(B$32*$A35-(1-B$32))*'Cai dat'!$B$7*'Cai dat'!$B$8</f>
        <v>-100</v>
      </c>
      <c r="C35" s="7" t="n">
        <f aca="false">(C$32*$A35-(1-C$32))*'Cai dat'!$B$7*'Cai dat'!$B$8</f>
        <v>200</v>
      </c>
      <c r="D35" s="7" t="n">
        <f aca="false">(D$32*$A35-(1-D$32))*'Cai dat'!$B$7*'Cai dat'!$B$8</f>
        <v>500</v>
      </c>
      <c r="E35" s="7" t="n">
        <f aca="false">(E$32*$A35-(1-E$32))*'Cai dat'!$B$7*'Cai dat'!$B$8</f>
        <v>800</v>
      </c>
      <c r="F35" s="7" t="n">
        <f aca="false">(F$32*$A35-(1-F$32))*'Cai dat'!$B$7*'Cai dat'!$B$8</f>
        <v>1100</v>
      </c>
    </row>
    <row r="36" customFormat="false" ht="15" hidden="false" customHeight="false" outlineLevel="0" collapsed="false">
      <c r="A36" s="23" t="n">
        <v>2.5</v>
      </c>
      <c r="B36" s="7" t="n">
        <f aca="false">(B$32*$A36-(1-B$32))*'Cai dat'!$B$7*'Cai dat'!$B$8</f>
        <v>50</v>
      </c>
      <c r="C36" s="7" t="n">
        <f aca="false">(C$32*$A36-(1-C$32))*'Cai dat'!$B$7*'Cai dat'!$B$8</f>
        <v>400</v>
      </c>
      <c r="D36" s="7" t="n">
        <f aca="false">(D$32*$A36-(1-D$32))*'Cai dat'!$B$7*'Cai dat'!$B$8</f>
        <v>750</v>
      </c>
      <c r="E36" s="7" t="n">
        <f aca="false">(E$32*$A36-(1-E$32))*'Cai dat'!$B$7*'Cai dat'!$B$8</f>
        <v>1100</v>
      </c>
      <c r="F36" s="7" t="n">
        <f aca="false">(F$32*$A36-(1-F$32))*'Cai dat'!$B$7*'Cai dat'!$B$8</f>
        <v>1450</v>
      </c>
    </row>
    <row r="37" customFormat="false" ht="15" hidden="false" customHeight="false" outlineLevel="0" collapsed="false">
      <c r="A37" s="23" t="n">
        <v>3</v>
      </c>
      <c r="B37" s="7" t="n">
        <f aca="false">(B$32*$A37-(1-B$32))*'Cai dat'!$B$7*'Cai dat'!$B$8</f>
        <v>200</v>
      </c>
      <c r="C37" s="7" t="n">
        <f aca="false">(C$32*$A37-(1-C$32))*'Cai dat'!$B$7*'Cai dat'!$B$8</f>
        <v>600</v>
      </c>
      <c r="D37" s="7" t="n">
        <f aca="false">(D$32*$A37-(1-D$32))*'Cai dat'!$B$7*'Cai dat'!$B$8</f>
        <v>1000</v>
      </c>
      <c r="E37" s="7" t="n">
        <f aca="false">(E$32*$A37-(1-E$32))*'Cai dat'!$B$7*'Cai dat'!$B$8</f>
        <v>1400</v>
      </c>
      <c r="F37" s="7" t="n">
        <f aca="false">(F$32*$A37-(1-F$32))*'Cai dat'!$B$7*'Cai dat'!$B$8</f>
        <v>1800</v>
      </c>
    </row>
    <row r="39" customFormat="false" ht="15" hidden="false" customHeight="true" outlineLevel="0" collapsed="false">
      <c r="A39" s="24" t="s">
        <v>47</v>
      </c>
      <c r="B39" s="24"/>
      <c r="C39" s="24"/>
      <c r="D39" s="24"/>
      <c r="E39" s="24"/>
      <c r="F39" s="24"/>
      <c r="G39" s="24"/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4"/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4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4"/>
    </row>
  </sheetData>
  <mergeCells count="6">
    <mergeCell ref="A1:G1"/>
    <mergeCell ref="A3:G3"/>
    <mergeCell ref="A15:G15"/>
    <mergeCell ref="A23:G23"/>
    <mergeCell ref="A31:G31"/>
    <mergeCell ref="A39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48</v>
      </c>
      <c r="B1" s="1"/>
      <c r="C1" s="1"/>
    </row>
    <row r="3" customFormat="false" ht="15" hidden="false" customHeight="false" outlineLevel="0" collapsed="false">
      <c r="A3" s="14" t="s">
        <v>49</v>
      </c>
      <c r="B3" s="14" t="s">
        <v>50</v>
      </c>
      <c r="C3" s="2" t="s">
        <v>51</v>
      </c>
    </row>
    <row r="4" customFormat="false" ht="15" hidden="false" customHeight="false" outlineLevel="0" collapsed="false">
      <c r="A4" s="25" t="s">
        <v>52</v>
      </c>
      <c r="B4" s="7" t="n">
        <f aca="false">0.1*'Cai dat'!$B$4</f>
        <v>1000</v>
      </c>
      <c r="C4" s="3" t="s">
        <v>53</v>
      </c>
    </row>
    <row r="5" customFormat="false" ht="15" hidden="false" customHeight="false" outlineLevel="0" collapsed="false">
      <c r="A5" s="25" t="s">
        <v>54</v>
      </c>
      <c r="B5" s="7" t="n">
        <f aca="false">0.05*'Cai dat'!$B$4</f>
        <v>500</v>
      </c>
      <c r="C5" s="3" t="s">
        <v>55</v>
      </c>
    </row>
    <row r="6" customFormat="false" ht="15" hidden="false" customHeight="false" outlineLevel="0" collapsed="false">
      <c r="A6" s="25" t="s">
        <v>56</v>
      </c>
      <c r="B6" s="7" t="n">
        <f aca="false">0.05*'Cai dat'!$B$4</f>
        <v>500</v>
      </c>
      <c r="C6" s="3" t="s">
        <v>57</v>
      </c>
    </row>
    <row r="7" customFormat="false" ht="15" hidden="false" customHeight="false" outlineLevel="0" collapsed="false">
      <c r="A7" s="25" t="s">
        <v>58</v>
      </c>
      <c r="B7" s="7" t="n">
        <f aca="false">0.1*'Cai dat'!$B$4</f>
        <v>1000</v>
      </c>
      <c r="C7" s="3" t="s">
        <v>59</v>
      </c>
    </row>
    <row r="8" customFormat="false" ht="15" hidden="false" customHeight="false" outlineLevel="0" collapsed="false">
      <c r="A8" s="25" t="s">
        <v>60</v>
      </c>
      <c r="B8" s="15" t="n">
        <f aca="false">ROUND(0.05/'Cai dat'!$B$6,0)</f>
        <v>5</v>
      </c>
      <c r="C8" s="3" t="s">
        <v>61</v>
      </c>
    </row>
    <row r="9" customFormat="false" ht="15" hidden="false" customHeight="false" outlineLevel="0" collapsed="false">
      <c r="A9" s="25" t="s">
        <v>62</v>
      </c>
      <c r="B9" s="15" t="n">
        <f aca="false">ROUND(0.05/'Cai dat'!$B$5,0)</f>
        <v>10</v>
      </c>
      <c r="C9" s="3" t="s">
        <v>63</v>
      </c>
    </row>
    <row r="11" customFormat="false" ht="15" hidden="false" customHeight="true" outlineLevel="0" collapsed="false">
      <c r="A11" s="24" t="s">
        <v>64</v>
      </c>
      <c r="B11" s="24"/>
      <c r="C11" s="24"/>
    </row>
    <row r="12" customFormat="false" ht="15" hidden="false" customHeight="false" outlineLevel="0" collapsed="false">
      <c r="A12" s="24"/>
      <c r="B12" s="24"/>
      <c r="C12" s="24"/>
    </row>
    <row r="13" customFormat="false" ht="15" hidden="false" customHeight="false" outlineLevel="0" collapsed="false">
      <c r="A13" s="24"/>
      <c r="B13" s="24"/>
      <c r="C13" s="24"/>
    </row>
    <row r="14" customFormat="false" ht="15" hidden="false" customHeight="false" outlineLevel="0" collapsed="false">
      <c r="A14" s="24"/>
      <c r="B14" s="24"/>
      <c r="C14" s="24"/>
    </row>
  </sheetData>
  <mergeCells count="2">
    <mergeCell ref="A1:C1"/>
    <mergeCell ref="A11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2026-07-12T01:13:01Z</dcterms:created>
  <dc:creator>openpyxl</dc:creator>
  <dc:description/>
  <dc:language>en-US</dc:language>
  <cp:lastModifiedBy/>
  <dcterms:modified xsi:type="dcterms:W3CDTF">2026-07-12T01:13:01Z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